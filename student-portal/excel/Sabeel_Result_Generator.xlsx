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beel Online\Results Software\excel\"/>
    </mc:Choice>
  </mc:AlternateContent>
  <xr:revisionPtr revIDLastSave="0" documentId="13_ncr:1_{0EC40BDA-E783-41C5-80BA-FF7F3D32BF6A}" xr6:coauthVersionLast="47" xr6:coauthVersionMax="47" xr10:uidLastSave="{00000000-0000-0000-0000-000000000000}"/>
  <bookViews>
    <workbookView xWindow="-120" yWindow="-120" windowWidth="29040" windowHeight="15720" xr2:uid="{68B8B509-713E-4F7B-AA19-394F5386E0C6}"/>
  </bookViews>
  <sheets>
    <sheet name="Marksheet" sheetId="3" r:id="rId1"/>
    <sheet name="Class List" sheetId="2" r:id="rId2"/>
    <sheet name="Instructions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4" i="2" l="1"/>
  <c r="J54" i="2"/>
  <c r="I54" i="2"/>
  <c r="K53" i="2"/>
  <c r="J53" i="2"/>
  <c r="I53" i="2"/>
  <c r="K52" i="2"/>
  <c r="J52" i="2"/>
  <c r="I52" i="2"/>
  <c r="K51" i="2"/>
  <c r="J51" i="2"/>
  <c r="I51" i="2"/>
  <c r="K50" i="2"/>
  <c r="J50" i="2"/>
  <c r="I50" i="2"/>
  <c r="K49" i="2"/>
  <c r="J49" i="2"/>
  <c r="I49" i="2"/>
  <c r="K48" i="2"/>
  <c r="J48" i="2"/>
  <c r="I48" i="2"/>
  <c r="K47" i="2"/>
  <c r="J47" i="2"/>
  <c r="I47" i="2"/>
  <c r="K46" i="2"/>
  <c r="J46" i="2"/>
  <c r="I46" i="2"/>
  <c r="K45" i="2"/>
  <c r="J45" i="2"/>
  <c r="I45" i="2"/>
  <c r="K44" i="2"/>
  <c r="J44" i="2"/>
  <c r="I44" i="2"/>
  <c r="K43" i="2"/>
  <c r="J43" i="2"/>
  <c r="I43" i="2"/>
  <c r="K42" i="2"/>
  <c r="J42" i="2"/>
  <c r="I42" i="2"/>
  <c r="K41" i="2"/>
  <c r="J41" i="2"/>
  <c r="I41" i="2"/>
  <c r="K40" i="2"/>
  <c r="J40" i="2"/>
  <c r="I40" i="2"/>
  <c r="K39" i="2"/>
  <c r="J39" i="2"/>
  <c r="I39" i="2"/>
  <c r="K38" i="2"/>
  <c r="J38" i="2"/>
  <c r="I38" i="2"/>
  <c r="K37" i="2"/>
  <c r="J37" i="2"/>
  <c r="I37" i="2"/>
  <c r="K36" i="2"/>
  <c r="J36" i="2"/>
  <c r="I36" i="2"/>
  <c r="K35" i="2"/>
  <c r="J35" i="2"/>
  <c r="I35" i="2"/>
  <c r="K34" i="2"/>
  <c r="J34" i="2"/>
  <c r="I34" i="2"/>
  <c r="K33" i="2"/>
  <c r="J33" i="2"/>
  <c r="I33" i="2"/>
  <c r="K32" i="2"/>
  <c r="J32" i="2"/>
  <c r="I32" i="2"/>
  <c r="K31" i="2"/>
  <c r="J31" i="2"/>
  <c r="I31" i="2"/>
  <c r="K30" i="2"/>
  <c r="J30" i="2"/>
  <c r="I30" i="2"/>
  <c r="K29" i="2"/>
  <c r="J29" i="2"/>
  <c r="I29" i="2"/>
  <c r="K28" i="2"/>
  <c r="J28" i="2"/>
  <c r="I28" i="2"/>
  <c r="K27" i="2"/>
  <c r="J27" i="2"/>
  <c r="I27" i="2"/>
  <c r="K26" i="2"/>
  <c r="J26" i="2"/>
  <c r="I26" i="2"/>
  <c r="K25" i="2"/>
  <c r="J25" i="2"/>
  <c r="I25" i="2"/>
  <c r="K24" i="2"/>
  <c r="J24" i="2"/>
  <c r="I24" i="2"/>
  <c r="K23" i="2"/>
  <c r="J23" i="2"/>
  <c r="I23" i="2"/>
  <c r="K22" i="2"/>
  <c r="J22" i="2"/>
  <c r="I22" i="2"/>
  <c r="K21" i="2"/>
  <c r="J21" i="2"/>
  <c r="I21" i="2"/>
  <c r="K20" i="2"/>
  <c r="J20" i="2"/>
  <c r="I20" i="2"/>
  <c r="K19" i="2"/>
  <c r="J19" i="2"/>
  <c r="I19" i="2"/>
  <c r="K18" i="2"/>
  <c r="J18" i="2"/>
  <c r="I18" i="2"/>
  <c r="K17" i="2"/>
  <c r="J17" i="2"/>
  <c r="I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J6" i="2"/>
  <c r="I6" i="2"/>
  <c r="I5" i="2"/>
  <c r="K5" i="2" s="1"/>
  <c r="D24" i="3"/>
  <c r="C24" i="3"/>
  <c r="A4" i="3"/>
  <c r="A27" i="3" l="1"/>
  <c r="B27" i="3"/>
  <c r="C27" i="3"/>
  <c r="J5" i="2"/>
</calcChain>
</file>

<file path=xl/sharedStrings.xml><?xml version="1.0" encoding="utf-8"?>
<sst xmlns="http://schemas.openxmlformats.org/spreadsheetml/2006/main" count="54" uniqueCount="44">
  <si>
    <t>Student ID</t>
  </si>
  <si>
    <t>Roll No</t>
  </si>
  <si>
    <t>Name</t>
  </si>
  <si>
    <t>Course Name</t>
  </si>
  <si>
    <t>Father's Name</t>
  </si>
  <si>
    <t>Date of Birth</t>
  </si>
  <si>
    <t>Address</t>
  </si>
  <si>
    <t>Semester</t>
  </si>
  <si>
    <t>Semester Year</t>
  </si>
  <si>
    <t>Short Term Alimiyyat</t>
  </si>
  <si>
    <t>Semester 1</t>
  </si>
  <si>
    <t>#</t>
  </si>
  <si>
    <t>Subject</t>
  </si>
  <si>
    <t>Max Marks</t>
  </si>
  <si>
    <t>Marks Obtained</t>
  </si>
  <si>
    <t>Remarks</t>
  </si>
  <si>
    <t>Tafsir</t>
  </si>
  <si>
    <t>Translation</t>
  </si>
  <si>
    <t>Arabic Language</t>
  </si>
  <si>
    <t>Islamic History</t>
  </si>
  <si>
    <t>GRAND TOTAL</t>
  </si>
  <si>
    <t>Result</t>
  </si>
  <si>
    <t>Percentage</t>
  </si>
  <si>
    <t>Grade</t>
  </si>
  <si>
    <t>Course Month/Year</t>
  </si>
  <si>
    <t>Grading: 90+ A1 · 80+ A2 · 70+ B1 · 60+ B2 · 50+ C1 · 40+ C2 · Below 40 Fail  |  Pass mark = 40%</t>
  </si>
  <si>
    <t>Principal</t>
  </si>
  <si>
    <t>Exam Incharge</t>
  </si>
  <si>
    <t>Madarsa Sabeel Us Salaam Online — Shaheen Bagh, Okhla, New Delhi 110025</t>
  </si>
  <si>
    <t>CLASS LIST — Yellow = type. Percentage / Grade / Result automatic (same rules)</t>
  </si>
  <si>
    <t>Course</t>
  </si>
  <si>
    <t>Total Obtained</t>
  </si>
  <si>
    <t>Max Total</t>
  </si>
  <si>
    <t>Mohd Mohsin</t>
  </si>
  <si>
    <t>Moh Momin</t>
  </si>
  <si>
    <t>Sabeel Result Generator — with Marksheet Header &amp; Signature Footer</t>
  </si>
  <si>
    <t>HEADER: Same logo banner as website marksheet (Memorandum of Marks / Madarsa Sabeel Us Salaam Online).</t>
  </si>
  <si>
    <t>FOOTER: Principal + Exam Incharge signatures (same images as website).</t>
  </si>
  <si>
    <t>How to fill Marksheet sheet:</t>
  </si>
  <si>
    <t>1. Yellow cells mein student details type karein (Course Name heading auto update hogi).</t>
  </si>
  <si>
    <t>2. Subjects aur marks bharien — Total / % / Grade / Pass-Fail automatic.</t>
  </si>
  <si>
    <t>3. Course Month/Year manually type karein (yellow cell under summary).</t>
  </si>
  <si>
    <t>4. Print: Ctrl+P (A4, fit to 1 page).</t>
  </si>
  <si>
    <t>Grading: 90+ A1 | 80+ A2 | 70+ B1 | 60+ B2 | 50+ C1 | 40+ C2 | Below 40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</si>
</sst>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A3A8F"/>
      <name val="Calibri"/>
      <family val="2"/>
      <scheme val="minor"/>
    </font>
    <font>
      <b/>
      <sz val="11"/>
      <color rgb="FF1A3A8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1A3A8F"/>
      <name val="Calibri"/>
      <family val="2"/>
      <scheme val="minor"/>
    </font>
    <font>
      <b/>
      <sz val="12"/>
      <color rgb="FF1A3A8F"/>
      <name val="Calibri"/>
      <family val="2"/>
      <scheme val="minor"/>
    </font>
    <font>
      <sz val="9"/>
      <color rgb="FFC9A227"/>
      <name val="Calibri"/>
      <family val="2"/>
      <scheme val="minor"/>
    </font>
    <font>
      <b/>
      <sz val="14"/>
      <color rgb="FF1A3A8F"/>
      <name val="Calibri"/>
      <family val="2"/>
      <scheme val="minor"/>
    </font>
    <font>
      <b/>
      <sz val="15"/>
      <color rgb="FF1A3A8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EFC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1A3A8F"/>
        <bgColor indexed="64"/>
      </patternFill>
    </fill>
  </fills>
  <borders count="16">
    <border>
      <left/>
      <right/>
      <top/>
      <bottom/>
      <diagonal/>
    </border>
    <border>
      <left style="thin">
        <color rgb="FF1A3A8F"/>
      </left>
      <right style="thin">
        <color rgb="FF1A3A8F"/>
      </right>
      <top style="thin">
        <color rgb="FF1A3A8F"/>
      </top>
      <bottom style="thin">
        <color rgb="FF1A3A8F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rgb="FF1A3A8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1A3A8F"/>
      </top>
      <bottom/>
      <diagonal/>
    </border>
    <border>
      <left/>
      <right style="medium">
        <color indexed="64"/>
      </right>
      <top style="medium">
        <color rgb="FF1A3A8F"/>
      </top>
      <bottom/>
      <diagonal/>
    </border>
    <border>
      <left style="medium">
        <color indexed="64"/>
      </left>
      <right/>
      <top/>
      <bottom style="medium">
        <color rgb="FFC9A227"/>
      </bottom>
      <diagonal/>
    </border>
    <border>
      <left style="medium">
        <color indexed="64"/>
      </left>
      <right style="thin">
        <color rgb="FF1A3A8F"/>
      </right>
      <top style="thin">
        <color rgb="FF1A3A8F"/>
      </top>
      <bottom style="thin">
        <color rgb="FF1A3A8F"/>
      </bottom>
      <diagonal/>
    </border>
    <border>
      <left style="thin">
        <color rgb="FF1A3A8F"/>
      </left>
      <right style="medium">
        <color indexed="64"/>
      </right>
      <top style="thin">
        <color rgb="FF1A3A8F"/>
      </top>
      <bottom style="thin">
        <color rgb="FF1A3A8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4" borderId="0" xfId="0" applyFont="1" applyFill="1"/>
    <xf numFmtId="0" fontId="0" fillId="3" borderId="0" xfId="0" applyFill="1"/>
    <xf numFmtId="0" fontId="0" fillId="3" borderId="1" xfId="0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0" fontId="0" fillId="0" borderId="2" xfId="0" applyBorder="1"/>
    <xf numFmtId="0" fontId="10" fillId="0" borderId="0" xfId="0" applyFont="1"/>
    <xf numFmtId="0" fontId="0" fillId="0" borderId="1" xfId="0" applyBorder="1"/>
    <xf numFmtId="0" fontId="1" fillId="3" borderId="1" xfId="0" applyFont="1" applyFill="1" applyBorder="1"/>
    <xf numFmtId="0" fontId="0" fillId="0" borderId="0" xfId="0"/>
    <xf numFmtId="164" fontId="1" fillId="3" borderId="1" xfId="0" applyNumberFormat="1" applyFont="1" applyFill="1" applyBorder="1"/>
    <xf numFmtId="0" fontId="0" fillId="0" borderId="3" xfId="0" applyBorder="1" applyAlignment="1">
      <alignment horizontal="center"/>
    </xf>
    <xf numFmtId="0" fontId="9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2" fillId="2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0" xfId="0" applyBorder="1"/>
    <xf numFmtId="0" fontId="0" fillId="0" borderId="7" xfId="0" applyBorder="1"/>
    <xf numFmtId="0" fontId="3" fillId="0" borderId="11" xfId="0" applyFont="1" applyBorder="1"/>
    <xf numFmtId="0" fontId="1" fillId="3" borderId="12" xfId="0" applyFont="1" applyFill="1" applyBorder="1"/>
    <xf numFmtId="0" fontId="4" fillId="4" borderId="2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3" borderId="12" xfId="0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6" fillId="0" borderId="2" xfId="0" applyFont="1" applyBorder="1"/>
    <xf numFmtId="0" fontId="7" fillId="0" borderId="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85725</xdr:rowOff>
    </xdr:from>
    <xdr:to>
      <xdr:col>3</xdr:col>
      <xdr:colOff>2028825</xdr:colOff>
      <xdr:row>1</xdr:row>
      <xdr:rowOff>889000</xdr:rowOff>
    </xdr:to>
    <xdr:pic>
      <xdr:nvPicPr>
        <xdr:cNvPr id="3" name="HeaderLogo">
          <a:extLst>
            <a:ext uri="{FF2B5EF4-FFF2-40B4-BE49-F238E27FC236}">
              <a16:creationId xmlns:a16="http://schemas.microsoft.com/office/drawing/2014/main" id="{8688565C-EE48-9F2D-06B6-6A20F8B426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0975"/>
          <a:ext cx="4848225" cy="803275"/>
        </a:xfrm>
        <a:prstGeom prst="rect">
          <a:avLst/>
        </a:prstGeom>
      </xdr:spPr>
    </xdr:pic>
    <xdr:clientData/>
  </xdr:twoCellAnchor>
  <xdr:twoCellAnchor editAs="oneCell">
    <xdr:from>
      <xdr:col>0</xdr:col>
      <xdr:colOff>949325</xdr:colOff>
      <xdr:row>30</xdr:row>
      <xdr:rowOff>171449</xdr:rowOff>
    </xdr:from>
    <xdr:to>
      <xdr:col>1</xdr:col>
      <xdr:colOff>1127760</xdr:colOff>
      <xdr:row>30</xdr:row>
      <xdr:rowOff>606424</xdr:rowOff>
    </xdr:to>
    <xdr:pic>
      <xdr:nvPicPr>
        <xdr:cNvPr id="5" name="SignPrincipal">
          <a:extLst>
            <a:ext uri="{FF2B5EF4-FFF2-40B4-BE49-F238E27FC236}">
              <a16:creationId xmlns:a16="http://schemas.microsoft.com/office/drawing/2014/main" id="{D6380FB1-1B9A-EA7F-3C33-630AF2474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325" y="8229599"/>
          <a:ext cx="1130935" cy="434975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30</xdr:row>
      <xdr:rowOff>192453</xdr:rowOff>
    </xdr:from>
    <xdr:to>
      <xdr:col>3</xdr:col>
      <xdr:colOff>952500</xdr:colOff>
      <xdr:row>30</xdr:row>
      <xdr:rowOff>511174</xdr:rowOff>
    </xdr:to>
    <xdr:pic>
      <xdr:nvPicPr>
        <xdr:cNvPr id="7" name="SignExam">
          <a:extLst>
            <a:ext uri="{FF2B5EF4-FFF2-40B4-BE49-F238E27FC236}">
              <a16:creationId xmlns:a16="http://schemas.microsoft.com/office/drawing/2014/main" id="{DAEE6727-45C3-C84F-663C-88F16484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250603"/>
          <a:ext cx="828675" cy="3187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50800</xdr:colOff>
      <xdr:row>1</xdr:row>
      <xdr:rowOff>482600</xdr:rowOff>
    </xdr:to>
    <xdr:pic>
      <xdr:nvPicPr>
        <xdr:cNvPr id="3" name="ClassHeaderLogo">
          <a:extLst>
            <a:ext uri="{FF2B5EF4-FFF2-40B4-BE49-F238E27FC236}">
              <a16:creationId xmlns:a16="http://schemas.microsoft.com/office/drawing/2014/main" id="{7FA19BF4-4B1F-419F-8D03-33BC1248D7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8125"/>
          <a:ext cx="6604000" cy="482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0ABC6-6BD7-4213-B763-027C321B529A}">
  <sheetPr>
    <pageSetUpPr fitToPage="1"/>
  </sheetPr>
  <dimension ref="A1:D34"/>
  <sheetViews>
    <sheetView tabSelected="1" zoomScaleNormal="100" workbookViewId="0">
      <selection activeCell="D42" sqref="D42"/>
    </sheetView>
  </sheetViews>
  <sheetFormatPr defaultRowHeight="15" x14ac:dyDescent="0.25"/>
  <cols>
    <col min="1" max="1" width="4.85546875" customWidth="1"/>
    <col min="2" max="2" width="22.7109375" customWidth="1"/>
    <col min="3" max="3" width="14.7109375" customWidth="1"/>
    <col min="4" max="4" width="31.140625" customWidth="1"/>
    <col min="5" max="6" width="8.7109375" customWidth="1"/>
  </cols>
  <sheetData>
    <row r="1" spans="1:4" ht="8.1" customHeight="1" x14ac:dyDescent="0.25">
      <c r="A1" s="16"/>
      <c r="B1" s="17"/>
      <c r="C1" s="17"/>
      <c r="D1" s="18"/>
    </row>
    <row r="2" spans="1:4" ht="72" customHeight="1" x14ac:dyDescent="0.25">
      <c r="A2" s="8"/>
      <c r="B2" s="19"/>
      <c r="C2" s="19"/>
      <c r="D2" s="20"/>
    </row>
    <row r="3" spans="1:4" ht="8.1" customHeight="1" thickBot="1" x14ac:dyDescent="0.3">
      <c r="A3" s="8"/>
      <c r="B3" s="19"/>
      <c r="C3" s="19"/>
      <c r="D3" s="20"/>
    </row>
    <row r="4" spans="1:4" ht="27.95" customHeight="1" x14ac:dyDescent="0.35">
      <c r="A4" s="21" t="str">
        <f>IF(C10="","COURSE NAME","")&amp;IF(C10="","",C10)</f>
        <v>Short Term Alimiyyat</v>
      </c>
      <c r="B4" s="14"/>
      <c r="C4" s="14"/>
      <c r="D4" s="22"/>
    </row>
    <row r="5" spans="1:4" ht="6" customHeight="1" thickBot="1" x14ac:dyDescent="0.3">
      <c r="A5" s="23"/>
      <c r="B5" s="24"/>
      <c r="C5" s="24"/>
      <c r="D5" s="25"/>
    </row>
    <row r="6" spans="1:4" x14ac:dyDescent="0.25">
      <c r="A6" s="8"/>
      <c r="B6" s="19"/>
      <c r="C6" s="19"/>
      <c r="D6" s="20"/>
    </row>
    <row r="7" spans="1:4" x14ac:dyDescent="0.25">
      <c r="A7" s="26" t="s">
        <v>0</v>
      </c>
      <c r="B7" s="10"/>
      <c r="C7" s="11"/>
      <c r="D7" s="27"/>
    </row>
    <row r="8" spans="1:4" x14ac:dyDescent="0.25">
      <c r="A8" s="26" t="s">
        <v>1</v>
      </c>
      <c r="B8" s="10"/>
      <c r="C8" s="11"/>
      <c r="D8" s="27"/>
    </row>
    <row r="9" spans="1:4" x14ac:dyDescent="0.25">
      <c r="A9" s="26" t="s">
        <v>2</v>
      </c>
      <c r="B9" s="10"/>
      <c r="C9" s="11"/>
      <c r="D9" s="27"/>
    </row>
    <row r="10" spans="1:4" x14ac:dyDescent="0.25">
      <c r="A10" s="26" t="s">
        <v>3</v>
      </c>
      <c r="B10" s="10"/>
      <c r="C10" s="11" t="s">
        <v>9</v>
      </c>
      <c r="D10" s="27"/>
    </row>
    <row r="11" spans="1:4" x14ac:dyDescent="0.25">
      <c r="A11" s="26" t="s">
        <v>4</v>
      </c>
      <c r="B11" s="10"/>
      <c r="C11" s="11"/>
      <c r="D11" s="27"/>
    </row>
    <row r="12" spans="1:4" x14ac:dyDescent="0.25">
      <c r="A12" s="26" t="s">
        <v>5</v>
      </c>
      <c r="B12" s="10"/>
      <c r="C12" s="13"/>
      <c r="D12" s="27"/>
    </row>
    <row r="13" spans="1:4" x14ac:dyDescent="0.25">
      <c r="A13" s="26" t="s">
        <v>6</v>
      </c>
      <c r="B13" s="10"/>
      <c r="C13" s="11"/>
      <c r="D13" s="27"/>
    </row>
    <row r="14" spans="1:4" x14ac:dyDescent="0.25">
      <c r="A14" s="26" t="s">
        <v>7</v>
      </c>
      <c r="B14" s="10"/>
      <c r="C14" s="11" t="s">
        <v>10</v>
      </c>
      <c r="D14" s="27"/>
    </row>
    <row r="15" spans="1:4" x14ac:dyDescent="0.25">
      <c r="A15" s="26" t="s">
        <v>8</v>
      </c>
      <c r="B15" s="10"/>
      <c r="C15" s="46">
        <v>2026</v>
      </c>
      <c r="D15" s="47"/>
    </row>
    <row r="16" spans="1:4" x14ac:dyDescent="0.25">
      <c r="A16" s="8"/>
      <c r="B16" s="19"/>
      <c r="C16" s="19"/>
      <c r="D16" s="20"/>
    </row>
    <row r="17" spans="1:4" x14ac:dyDescent="0.25">
      <c r="A17" s="28" t="s">
        <v>11</v>
      </c>
      <c r="B17" s="29" t="s">
        <v>12</v>
      </c>
      <c r="C17" s="29" t="s">
        <v>13</v>
      </c>
      <c r="D17" s="30" t="s">
        <v>14</v>
      </c>
    </row>
    <row r="18" spans="1:4" x14ac:dyDescent="0.25">
      <c r="A18" s="31">
        <v>1</v>
      </c>
      <c r="B18" s="3" t="s">
        <v>16</v>
      </c>
      <c r="C18" s="3">
        <v>100</v>
      </c>
      <c r="D18" s="32">
        <v>82</v>
      </c>
    </row>
    <row r="19" spans="1:4" x14ac:dyDescent="0.25">
      <c r="A19" s="31">
        <v>2</v>
      </c>
      <c r="B19" s="3" t="s">
        <v>17</v>
      </c>
      <c r="C19" s="3">
        <v>100</v>
      </c>
      <c r="D19" s="32">
        <v>70</v>
      </c>
    </row>
    <row r="20" spans="1:4" x14ac:dyDescent="0.25">
      <c r="A20" s="31">
        <v>3</v>
      </c>
      <c r="B20" s="3" t="s">
        <v>18</v>
      </c>
      <c r="C20" s="3">
        <v>100</v>
      </c>
      <c r="D20" s="32">
        <v>75</v>
      </c>
    </row>
    <row r="21" spans="1:4" x14ac:dyDescent="0.25">
      <c r="A21" s="31">
        <v>4</v>
      </c>
      <c r="B21" s="3" t="s">
        <v>19</v>
      </c>
      <c r="C21" s="3">
        <v>100</v>
      </c>
      <c r="D21" s="32">
        <v>90</v>
      </c>
    </row>
    <row r="22" spans="1:4" x14ac:dyDescent="0.25">
      <c r="A22" s="31">
        <v>5</v>
      </c>
      <c r="B22" s="3"/>
      <c r="C22" s="3">
        <v>100</v>
      </c>
      <c r="D22" s="32"/>
    </row>
    <row r="23" spans="1:4" x14ac:dyDescent="0.25">
      <c r="A23" s="31">
        <v>6</v>
      </c>
      <c r="B23" s="3"/>
      <c r="C23" s="3">
        <v>100</v>
      </c>
      <c r="D23" s="32"/>
    </row>
    <row r="24" spans="1:4" x14ac:dyDescent="0.25">
      <c r="A24" s="33"/>
      <c r="B24" s="4" t="s">
        <v>20</v>
      </c>
      <c r="C24" s="4">
        <f>SUMIF(B18:B23,"&lt;&gt;",C18:C23)</f>
        <v>400</v>
      </c>
      <c r="D24" s="34">
        <f>SUMIF(B18:B23,"&lt;&gt;",D18:D23)</f>
        <v>317</v>
      </c>
    </row>
    <row r="25" spans="1:4" x14ac:dyDescent="0.25">
      <c r="A25" s="8"/>
      <c r="B25" s="19"/>
      <c r="C25" s="19"/>
      <c r="D25" s="20"/>
    </row>
    <row r="26" spans="1:4" x14ac:dyDescent="0.25">
      <c r="A26" s="35" t="s">
        <v>21</v>
      </c>
      <c r="B26" s="5" t="s">
        <v>22</v>
      </c>
      <c r="C26" s="5" t="s">
        <v>23</v>
      </c>
      <c r="D26" s="36" t="s">
        <v>24</v>
      </c>
    </row>
    <row r="27" spans="1:4" ht="24" customHeight="1" x14ac:dyDescent="0.3">
      <c r="A27" s="37" t="e">
        <f>IF(#REF!="","",IF(#REF!&gt;=40,"Pass","Fail"))</f>
        <v>#REF!</v>
      </c>
      <c r="B27" s="7" t="e">
        <f>IF(#REF!="","",#REF!)</f>
        <v>#REF!</v>
      </c>
      <c r="C27" s="6" t="e">
        <f>IF(#REF!="","",IF(#REF!&gt;=90,"A1",IF(#REF!&gt;=80,"A2",IF(#REF!&gt;=70,"B1",IF(#REF!&gt;=60,"B2",IF(#REF!&gt;=50,"C1",IF(#REF!&gt;=40,"C2","F")))))))</f>
        <v>#REF!</v>
      </c>
      <c r="D27" s="38"/>
    </row>
    <row r="28" spans="1:4" x14ac:dyDescent="0.25">
      <c r="A28" s="39" t="s">
        <v>25</v>
      </c>
      <c r="B28" s="24"/>
      <c r="C28" s="24"/>
      <c r="D28" s="25"/>
    </row>
    <row r="29" spans="1:4" x14ac:dyDescent="0.25">
      <c r="A29" s="8"/>
      <c r="B29" s="19"/>
      <c r="C29" s="19"/>
      <c r="D29" s="20"/>
    </row>
    <row r="30" spans="1:4" ht="9.9499999999999993" customHeight="1" x14ac:dyDescent="0.25">
      <c r="A30" s="8"/>
      <c r="B30" s="19"/>
      <c r="C30" s="19"/>
      <c r="D30" s="20"/>
    </row>
    <row r="31" spans="1:4" ht="54.95" customHeight="1" x14ac:dyDescent="0.25">
      <c r="A31" s="8"/>
      <c r="B31" s="19"/>
      <c r="C31" s="19"/>
      <c r="D31" s="20"/>
    </row>
    <row r="32" spans="1:4" ht="18" customHeight="1" x14ac:dyDescent="0.25">
      <c r="A32" s="40" t="s">
        <v>26</v>
      </c>
      <c r="B32" s="41"/>
      <c r="C32" s="19"/>
      <c r="D32" s="42" t="s">
        <v>27</v>
      </c>
    </row>
    <row r="33" spans="1:4" ht="18" customHeight="1" x14ac:dyDescent="0.25">
      <c r="A33" s="8"/>
      <c r="B33" s="19"/>
      <c r="C33" s="19"/>
      <c r="D33" s="20"/>
    </row>
    <row r="34" spans="1:4" ht="15.75" thickBot="1" x14ac:dyDescent="0.3">
      <c r="A34" s="43" t="s">
        <v>28</v>
      </c>
      <c r="B34" s="44"/>
      <c r="C34" s="44"/>
      <c r="D34" s="45"/>
    </row>
  </sheetData>
  <mergeCells count="23">
    <mergeCell ref="A4:D4"/>
    <mergeCell ref="A5:D5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34:D34"/>
    <mergeCell ref="A12:B12"/>
    <mergeCell ref="C12:D12"/>
    <mergeCell ref="A13:B13"/>
    <mergeCell ref="C13:D13"/>
    <mergeCell ref="A14:B14"/>
    <mergeCell ref="C14:D14"/>
    <mergeCell ref="A15:B15"/>
    <mergeCell ref="C15:D15"/>
    <mergeCell ref="A28:D28"/>
    <mergeCell ref="A32:B32"/>
  </mergeCells>
  <pageMargins left="1" right="1" top="1" bottom="1" header="0.5" footer="0.5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5403-9810-433B-B57E-F3B326874C6C}">
  <dimension ref="A1:L54"/>
  <sheetViews>
    <sheetView workbookViewId="0"/>
  </sheetViews>
  <sheetFormatPr defaultRowHeight="15" x14ac:dyDescent="0.25"/>
  <cols>
    <col min="1" max="1" width="12.7109375" customWidth="1"/>
    <col min="2" max="2" width="18.7109375" customWidth="1"/>
    <col min="3" max="3" width="16.7109375" customWidth="1"/>
    <col min="4" max="4" width="22.7109375" customWidth="1"/>
    <col min="5" max="5" width="12.7109375" customWidth="1"/>
    <col min="6" max="7" width="14.7109375" customWidth="1"/>
    <col min="8" max="9" width="12.7109375" customWidth="1"/>
    <col min="10" max="11" width="10.7109375" customWidth="1"/>
    <col min="12" max="12" width="16.7109375" customWidth="1"/>
  </cols>
  <sheetData>
    <row r="1" spans="1:12" ht="18.75" x14ac:dyDescent="0.3">
      <c r="A1" s="15" t="s">
        <v>29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39.950000000000003" customHeight="1" x14ac:dyDescent="0.25"/>
    <row r="4" spans="1:12" x14ac:dyDescent="0.25">
      <c r="A4" s="1" t="s">
        <v>1</v>
      </c>
      <c r="B4" s="1" t="s">
        <v>2</v>
      </c>
      <c r="C4" s="1" t="s">
        <v>4</v>
      </c>
      <c r="D4" s="1" t="s">
        <v>30</v>
      </c>
      <c r="E4" s="1" t="s">
        <v>7</v>
      </c>
      <c r="F4" s="1" t="s">
        <v>8</v>
      </c>
      <c r="G4" s="1" t="s">
        <v>31</v>
      </c>
      <c r="H4" s="1" t="s">
        <v>32</v>
      </c>
      <c r="I4" s="1" t="s">
        <v>22</v>
      </c>
      <c r="J4" s="1" t="s">
        <v>23</v>
      </c>
      <c r="K4" s="1" t="s">
        <v>21</v>
      </c>
      <c r="L4" s="1" t="s">
        <v>15</v>
      </c>
    </row>
    <row r="5" spans="1:12" x14ac:dyDescent="0.25">
      <c r="A5" s="2">
        <v>610</v>
      </c>
      <c r="B5" s="2" t="s">
        <v>33</v>
      </c>
      <c r="C5" s="2" t="s">
        <v>34</v>
      </c>
      <c r="D5" s="2" t="s">
        <v>9</v>
      </c>
      <c r="E5" s="2" t="s">
        <v>10</v>
      </c>
      <c r="F5" s="2">
        <v>2026</v>
      </c>
      <c r="G5" s="2">
        <v>317</v>
      </c>
      <c r="H5" s="2">
        <v>400</v>
      </c>
      <c r="I5">
        <f t="shared" ref="I5:I36" si="0">IF(OR(H5="",H5=0),"",ROUND(G5/H5*100,2))</f>
        <v>79.25</v>
      </c>
      <c r="J5" t="str">
        <f t="shared" ref="J5:J36" si="1">IF(I5="","",IF(I5&gt;=90,"A1",IF(I5&gt;=80,"A2",IF(I5&gt;=70,"B1",IF(I5&gt;=60,"B2",IF(I5&gt;=50,"C1",IF(I5&gt;=40,"C2","F")))))))</f>
        <v>B1</v>
      </c>
      <c r="K5" t="str">
        <f t="shared" ref="K5:K36" si="2">IF(I5="","",IF(I5&gt;=40,"Pass","Fail"))</f>
        <v>Pass</v>
      </c>
      <c r="L5" s="2"/>
    </row>
    <row r="6" spans="1:12" x14ac:dyDescent="0.25">
      <c r="A6" s="2"/>
      <c r="B6" s="2"/>
      <c r="C6" s="2"/>
      <c r="D6" s="2"/>
      <c r="E6" s="2"/>
      <c r="F6" s="2"/>
      <c r="G6" s="2"/>
      <c r="H6" s="2"/>
      <c r="I6" t="str">
        <f t="shared" si="0"/>
        <v/>
      </c>
      <c r="J6" t="str">
        <f t="shared" si="1"/>
        <v/>
      </c>
      <c r="K6" t="str">
        <f t="shared" si="2"/>
        <v/>
      </c>
      <c r="L6" s="2"/>
    </row>
    <row r="7" spans="1:12" x14ac:dyDescent="0.25">
      <c r="A7" s="2"/>
      <c r="B7" s="2"/>
      <c r="C7" s="2"/>
      <c r="D7" s="2"/>
      <c r="E7" s="2"/>
      <c r="F7" s="2"/>
      <c r="G7" s="2"/>
      <c r="H7" s="2"/>
      <c r="I7" t="str">
        <f t="shared" si="0"/>
        <v/>
      </c>
      <c r="J7" t="str">
        <f t="shared" si="1"/>
        <v/>
      </c>
      <c r="K7" t="str">
        <f t="shared" si="2"/>
        <v/>
      </c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t="str">
        <f t="shared" si="0"/>
        <v/>
      </c>
      <c r="J8" t="str">
        <f t="shared" si="1"/>
        <v/>
      </c>
      <c r="K8" t="str">
        <f t="shared" si="2"/>
        <v/>
      </c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t="str">
        <f t="shared" si="0"/>
        <v/>
      </c>
      <c r="J9" t="str">
        <f t="shared" si="1"/>
        <v/>
      </c>
      <c r="K9" t="str">
        <f t="shared" si="2"/>
        <v/>
      </c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t="str">
        <f t="shared" si="0"/>
        <v/>
      </c>
      <c r="J10" t="str">
        <f t="shared" si="1"/>
        <v/>
      </c>
      <c r="K10" t="str">
        <f t="shared" si="2"/>
        <v/>
      </c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t="str">
        <f t="shared" si="0"/>
        <v/>
      </c>
      <c r="J11" t="str">
        <f t="shared" si="1"/>
        <v/>
      </c>
      <c r="K11" t="str">
        <f t="shared" si="2"/>
        <v/>
      </c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t="str">
        <f t="shared" si="0"/>
        <v/>
      </c>
      <c r="J12" t="str">
        <f t="shared" si="1"/>
        <v/>
      </c>
      <c r="K12" t="str">
        <f t="shared" si="2"/>
        <v/>
      </c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t="str">
        <f t="shared" si="0"/>
        <v/>
      </c>
      <c r="J13" t="str">
        <f t="shared" si="1"/>
        <v/>
      </c>
      <c r="K13" t="str">
        <f t="shared" si="2"/>
        <v/>
      </c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t="str">
        <f t="shared" si="0"/>
        <v/>
      </c>
      <c r="J14" t="str">
        <f t="shared" si="1"/>
        <v/>
      </c>
      <c r="K14" t="str">
        <f t="shared" si="2"/>
        <v/>
      </c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t="str">
        <f t="shared" si="0"/>
        <v/>
      </c>
      <c r="J15" t="str">
        <f t="shared" si="1"/>
        <v/>
      </c>
      <c r="K15" t="str">
        <f t="shared" si="2"/>
        <v/>
      </c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t="str">
        <f t="shared" si="0"/>
        <v/>
      </c>
      <c r="J16" t="str">
        <f t="shared" si="1"/>
        <v/>
      </c>
      <c r="K16" t="str">
        <f t="shared" si="2"/>
        <v/>
      </c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t="str">
        <f t="shared" si="0"/>
        <v/>
      </c>
      <c r="J17" t="str">
        <f t="shared" si="1"/>
        <v/>
      </c>
      <c r="K17" t="str">
        <f t="shared" si="2"/>
        <v/>
      </c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t="str">
        <f t="shared" si="0"/>
        <v/>
      </c>
      <c r="J18" t="str">
        <f t="shared" si="1"/>
        <v/>
      </c>
      <c r="K18" t="str">
        <f t="shared" si="2"/>
        <v/>
      </c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t="str">
        <f t="shared" si="0"/>
        <v/>
      </c>
      <c r="J19" t="str">
        <f t="shared" si="1"/>
        <v/>
      </c>
      <c r="K19" t="str">
        <f t="shared" si="2"/>
        <v/>
      </c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t="str">
        <f t="shared" si="0"/>
        <v/>
      </c>
      <c r="J20" t="str">
        <f t="shared" si="1"/>
        <v/>
      </c>
      <c r="K20" t="str">
        <f t="shared" si="2"/>
        <v/>
      </c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t="str">
        <f t="shared" si="0"/>
        <v/>
      </c>
      <c r="J21" t="str">
        <f t="shared" si="1"/>
        <v/>
      </c>
      <c r="K21" t="str">
        <f t="shared" si="2"/>
        <v/>
      </c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t="str">
        <f t="shared" si="0"/>
        <v/>
      </c>
      <c r="J22" t="str">
        <f t="shared" si="1"/>
        <v/>
      </c>
      <c r="K22" t="str">
        <f t="shared" si="2"/>
        <v/>
      </c>
      <c r="L22" s="2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t="str">
        <f t="shared" si="0"/>
        <v/>
      </c>
      <c r="J23" t="str">
        <f t="shared" si="1"/>
        <v/>
      </c>
      <c r="K23" t="str">
        <f t="shared" si="2"/>
        <v/>
      </c>
      <c r="L23" s="2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t="str">
        <f t="shared" si="0"/>
        <v/>
      </c>
      <c r="J24" t="str">
        <f t="shared" si="1"/>
        <v/>
      </c>
      <c r="K24" t="str">
        <f t="shared" si="2"/>
        <v/>
      </c>
      <c r="L24" s="2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t="str">
        <f t="shared" si="0"/>
        <v/>
      </c>
      <c r="J25" t="str">
        <f t="shared" si="1"/>
        <v/>
      </c>
      <c r="K25" t="str">
        <f t="shared" si="2"/>
        <v/>
      </c>
      <c r="L25" s="2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t="str">
        <f t="shared" si="0"/>
        <v/>
      </c>
      <c r="J26" t="str">
        <f t="shared" si="1"/>
        <v/>
      </c>
      <c r="K26" t="str">
        <f t="shared" si="2"/>
        <v/>
      </c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t="str">
        <f t="shared" si="0"/>
        <v/>
      </c>
      <c r="J27" t="str">
        <f t="shared" si="1"/>
        <v/>
      </c>
      <c r="K27" t="str">
        <f t="shared" si="2"/>
        <v/>
      </c>
      <c r="L27" s="2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t="str">
        <f t="shared" si="0"/>
        <v/>
      </c>
      <c r="J28" t="str">
        <f t="shared" si="1"/>
        <v/>
      </c>
      <c r="K28" t="str">
        <f t="shared" si="2"/>
        <v/>
      </c>
      <c r="L28" s="2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t="str">
        <f t="shared" si="0"/>
        <v/>
      </c>
      <c r="J29" t="str">
        <f t="shared" si="1"/>
        <v/>
      </c>
      <c r="K29" t="str">
        <f t="shared" si="2"/>
        <v/>
      </c>
      <c r="L29" s="2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t="str">
        <f t="shared" si="0"/>
        <v/>
      </c>
      <c r="J30" t="str">
        <f t="shared" si="1"/>
        <v/>
      </c>
      <c r="K30" t="str">
        <f t="shared" si="2"/>
        <v/>
      </c>
      <c r="L30" s="2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t="str">
        <f t="shared" si="0"/>
        <v/>
      </c>
      <c r="J31" t="str">
        <f t="shared" si="1"/>
        <v/>
      </c>
      <c r="K31" t="str">
        <f t="shared" si="2"/>
        <v/>
      </c>
      <c r="L31" s="2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t="str">
        <f t="shared" si="0"/>
        <v/>
      </c>
      <c r="J32" t="str">
        <f t="shared" si="1"/>
        <v/>
      </c>
      <c r="K32" t="str">
        <f t="shared" si="2"/>
        <v/>
      </c>
      <c r="L32" s="2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t="str">
        <f t="shared" si="0"/>
        <v/>
      </c>
      <c r="J33" t="str">
        <f t="shared" si="1"/>
        <v/>
      </c>
      <c r="K33" t="str">
        <f t="shared" si="2"/>
        <v/>
      </c>
      <c r="L33" s="2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t="str">
        <f t="shared" si="0"/>
        <v/>
      </c>
      <c r="J34" t="str">
        <f t="shared" si="1"/>
        <v/>
      </c>
      <c r="K34" t="str">
        <f t="shared" si="2"/>
        <v/>
      </c>
      <c r="L34" s="2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t="str">
        <f t="shared" si="0"/>
        <v/>
      </c>
      <c r="J35" t="str">
        <f t="shared" si="1"/>
        <v/>
      </c>
      <c r="K35" t="str">
        <f t="shared" si="2"/>
        <v/>
      </c>
      <c r="L35" s="2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t="str">
        <f t="shared" si="0"/>
        <v/>
      </c>
      <c r="J36" t="str">
        <f t="shared" si="1"/>
        <v/>
      </c>
      <c r="K36" t="str">
        <f t="shared" si="2"/>
        <v/>
      </c>
      <c r="L36" s="2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t="str">
        <f t="shared" ref="I37:I68" si="3">IF(OR(H37="",H37=0),"",ROUND(G37/H37*100,2))</f>
        <v/>
      </c>
      <c r="J37" t="str">
        <f t="shared" ref="J37:J68" si="4">IF(I37="","",IF(I37&gt;=90,"A1",IF(I37&gt;=80,"A2",IF(I37&gt;=70,"B1",IF(I37&gt;=60,"B2",IF(I37&gt;=50,"C1",IF(I37&gt;=40,"C2","F")))))))</f>
        <v/>
      </c>
      <c r="K37" t="str">
        <f t="shared" ref="K37:K54" si="5">IF(I37="","",IF(I37&gt;=40,"Pass","Fail"))</f>
        <v/>
      </c>
      <c r="L37" s="2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t="str">
        <f t="shared" si="3"/>
        <v/>
      </c>
      <c r="J38" t="str">
        <f t="shared" si="4"/>
        <v/>
      </c>
      <c r="K38" t="str">
        <f t="shared" si="5"/>
        <v/>
      </c>
      <c r="L38" s="2"/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t="str">
        <f t="shared" si="3"/>
        <v/>
      </c>
      <c r="J39" t="str">
        <f t="shared" si="4"/>
        <v/>
      </c>
      <c r="K39" t="str">
        <f t="shared" si="5"/>
        <v/>
      </c>
      <c r="L39" s="2"/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t="str">
        <f t="shared" si="3"/>
        <v/>
      </c>
      <c r="J40" t="str">
        <f t="shared" si="4"/>
        <v/>
      </c>
      <c r="K40" t="str">
        <f t="shared" si="5"/>
        <v/>
      </c>
      <c r="L40" s="2"/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t="str">
        <f t="shared" si="3"/>
        <v/>
      </c>
      <c r="J41" t="str">
        <f t="shared" si="4"/>
        <v/>
      </c>
      <c r="K41" t="str">
        <f t="shared" si="5"/>
        <v/>
      </c>
      <c r="L41" s="2"/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t="str">
        <f t="shared" si="3"/>
        <v/>
      </c>
      <c r="J42" t="str">
        <f t="shared" si="4"/>
        <v/>
      </c>
      <c r="K42" t="str">
        <f t="shared" si="5"/>
        <v/>
      </c>
      <c r="L42" s="2"/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t="str">
        <f t="shared" si="3"/>
        <v/>
      </c>
      <c r="J43" t="str">
        <f t="shared" si="4"/>
        <v/>
      </c>
      <c r="K43" t="str">
        <f t="shared" si="5"/>
        <v/>
      </c>
      <c r="L43" s="2"/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t="str">
        <f t="shared" si="3"/>
        <v/>
      </c>
      <c r="J44" t="str">
        <f t="shared" si="4"/>
        <v/>
      </c>
      <c r="K44" t="str">
        <f t="shared" si="5"/>
        <v/>
      </c>
      <c r="L44" s="2"/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t="str">
        <f t="shared" si="3"/>
        <v/>
      </c>
      <c r="J45" t="str">
        <f t="shared" si="4"/>
        <v/>
      </c>
      <c r="K45" t="str">
        <f t="shared" si="5"/>
        <v/>
      </c>
      <c r="L45" s="2"/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t="str">
        <f t="shared" si="3"/>
        <v/>
      </c>
      <c r="J46" t="str">
        <f t="shared" si="4"/>
        <v/>
      </c>
      <c r="K46" t="str">
        <f t="shared" si="5"/>
        <v/>
      </c>
      <c r="L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t="str">
        <f t="shared" si="3"/>
        <v/>
      </c>
      <c r="J47" t="str">
        <f t="shared" si="4"/>
        <v/>
      </c>
      <c r="K47" t="str">
        <f t="shared" si="5"/>
        <v/>
      </c>
      <c r="L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t="str">
        <f t="shared" si="3"/>
        <v/>
      </c>
      <c r="J48" t="str">
        <f t="shared" si="4"/>
        <v/>
      </c>
      <c r="K48" t="str">
        <f t="shared" si="5"/>
        <v/>
      </c>
      <c r="L48" s="2"/>
    </row>
    <row r="49" spans="1:12" x14ac:dyDescent="0.25">
      <c r="A49" s="2"/>
      <c r="B49" s="2"/>
      <c r="C49" s="2"/>
      <c r="D49" s="2"/>
      <c r="E49" s="2"/>
      <c r="F49" s="2"/>
      <c r="G49" s="2"/>
      <c r="H49" s="2"/>
      <c r="I49" t="str">
        <f t="shared" si="3"/>
        <v/>
      </c>
      <c r="J49" t="str">
        <f t="shared" si="4"/>
        <v/>
      </c>
      <c r="K49" t="str">
        <f t="shared" si="5"/>
        <v/>
      </c>
      <c r="L49" s="2"/>
    </row>
    <row r="50" spans="1:12" x14ac:dyDescent="0.25">
      <c r="A50" s="2"/>
      <c r="B50" s="2"/>
      <c r="C50" s="2"/>
      <c r="D50" s="2"/>
      <c r="E50" s="2"/>
      <c r="F50" s="2"/>
      <c r="G50" s="2"/>
      <c r="H50" s="2"/>
      <c r="I50" t="str">
        <f t="shared" si="3"/>
        <v/>
      </c>
      <c r="J50" t="str">
        <f t="shared" si="4"/>
        <v/>
      </c>
      <c r="K50" t="str">
        <f t="shared" si="5"/>
        <v/>
      </c>
      <c r="L50" s="2"/>
    </row>
    <row r="51" spans="1:12" x14ac:dyDescent="0.25">
      <c r="A51" s="2"/>
      <c r="B51" s="2"/>
      <c r="C51" s="2"/>
      <c r="D51" s="2"/>
      <c r="E51" s="2"/>
      <c r="F51" s="2"/>
      <c r="G51" s="2"/>
      <c r="H51" s="2"/>
      <c r="I51" t="str">
        <f t="shared" si="3"/>
        <v/>
      </c>
      <c r="J51" t="str">
        <f t="shared" si="4"/>
        <v/>
      </c>
      <c r="K51" t="str">
        <f t="shared" si="5"/>
        <v/>
      </c>
      <c r="L51" s="2"/>
    </row>
    <row r="52" spans="1:12" x14ac:dyDescent="0.25">
      <c r="A52" s="2"/>
      <c r="B52" s="2"/>
      <c r="C52" s="2"/>
      <c r="D52" s="2"/>
      <c r="E52" s="2"/>
      <c r="F52" s="2"/>
      <c r="G52" s="2"/>
      <c r="H52" s="2"/>
      <c r="I52" t="str">
        <f t="shared" si="3"/>
        <v/>
      </c>
      <c r="J52" t="str">
        <f t="shared" si="4"/>
        <v/>
      </c>
      <c r="K52" t="str">
        <f t="shared" si="5"/>
        <v/>
      </c>
      <c r="L52" s="2"/>
    </row>
    <row r="53" spans="1:12" x14ac:dyDescent="0.25">
      <c r="A53" s="2"/>
      <c r="B53" s="2"/>
      <c r="C53" s="2"/>
      <c r="D53" s="2"/>
      <c r="E53" s="2"/>
      <c r="F53" s="2"/>
      <c r="G53" s="2"/>
      <c r="H53" s="2"/>
      <c r="I53" t="str">
        <f t="shared" si="3"/>
        <v/>
      </c>
      <c r="J53" t="str">
        <f t="shared" si="4"/>
        <v/>
      </c>
      <c r="K53" t="str">
        <f t="shared" si="5"/>
        <v/>
      </c>
      <c r="L53" s="2"/>
    </row>
    <row r="54" spans="1:12" x14ac:dyDescent="0.25">
      <c r="A54" s="2"/>
      <c r="B54" s="2"/>
      <c r="C54" s="2"/>
      <c r="D54" s="2"/>
      <c r="E54" s="2"/>
      <c r="F54" s="2"/>
      <c r="G54" s="2"/>
      <c r="H54" s="2"/>
      <c r="I54" t="str">
        <f t="shared" si="3"/>
        <v/>
      </c>
      <c r="J54" t="str">
        <f t="shared" si="4"/>
        <v/>
      </c>
      <c r="K54" t="str">
        <f t="shared" si="5"/>
        <v/>
      </c>
      <c r="L54" s="2"/>
    </row>
  </sheetData>
  <mergeCells count="1">
    <mergeCell ref="A1:L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F59C1-21AE-4422-BEF6-79759526ACF4}">
  <dimension ref="A1:A12"/>
  <sheetViews>
    <sheetView workbookViewId="0"/>
  </sheetViews>
  <sheetFormatPr defaultRowHeight="15" x14ac:dyDescent="0.25"/>
  <cols>
    <col min="1" max="1" width="100.7109375" customWidth="1"/>
  </cols>
  <sheetData>
    <row r="1" spans="1:1" ht="19.5" x14ac:dyDescent="0.3">
      <c r="A1" s="9" t="s">
        <v>35</v>
      </c>
    </row>
    <row r="3" spans="1:1" x14ac:dyDescent="0.25">
      <c r="A3" t="s">
        <v>36</v>
      </c>
    </row>
    <row r="4" spans="1:1" x14ac:dyDescent="0.25">
      <c r="A4" t="s">
        <v>37</v>
      </c>
    </row>
    <row r="6" spans="1:1" x14ac:dyDescent="0.25">
      <c r="A6" t="s">
        <v>38</v>
      </c>
    </row>
    <row r="7" spans="1:1" x14ac:dyDescent="0.25">
      <c r="A7" t="s">
        <v>39</v>
      </c>
    </row>
    <row r="8" spans="1:1" x14ac:dyDescent="0.25">
      <c r="A8" t="s">
        <v>40</v>
      </c>
    </row>
    <row r="9" spans="1:1" x14ac:dyDescent="0.25">
      <c r="A9" t="s">
        <v>41</v>
      </c>
    </row>
    <row r="10" spans="1:1" x14ac:dyDescent="0.25">
      <c r="A10" t="s">
        <v>42</v>
      </c>
    </row>
    <row r="12" spans="1:1" x14ac:dyDescent="0.25">
      <c r="A1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Marksheet</vt:lpstr>
      <vt:lpstr>Class List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Mohsin</dc:creator>
  <cp:lastModifiedBy>Mohd Mohsin</cp:lastModifiedBy>
  <cp:lastPrinted>2026-07-20T18:14:51Z</cp:lastPrinted>
  <dcterms:created xsi:type="dcterms:W3CDTF">2026-07-20T18:10:12Z</dcterms:created>
  <dcterms:modified xsi:type="dcterms:W3CDTF">2026-07-20T18:15:00Z</dcterms:modified>
</cp:coreProperties>
</file>